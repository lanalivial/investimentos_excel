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e\Documents\"/>
    </mc:Choice>
  </mc:AlternateContent>
  <xr:revisionPtr revIDLastSave="0" documentId="13_ncr:1_{73B5D21C-97F0-4082-850E-4078DA43DB2F}" xr6:coauthVersionLast="47" xr6:coauthVersionMax="47" xr10:uidLastSave="{00000000-0000-0000-0000-000000000000}"/>
  <bookViews>
    <workbookView xWindow="-108" yWindow="-108" windowWidth="23256" windowHeight="12456" xr2:uid="{B47BBB4F-9C63-4C3E-B064-FC6C5E388F21}"/>
  </bookViews>
  <sheets>
    <sheet name="AUREA" sheetId="1" r:id="rId1"/>
    <sheet name="Planilha2" sheetId="2" r:id="rId2"/>
  </sheets>
  <definedNames>
    <definedName name="aporte">AUREA!$D$19</definedName>
    <definedName name="patrimonio">AUREA!$D$22</definedName>
    <definedName name="qtd_anos">AUREA!$D$20</definedName>
    <definedName name="Redimento_carteira">AUREA!$D$15</definedName>
    <definedName name="soma">AUREA!$D$23</definedName>
    <definedName name="taxa_mensal">AUREA!$D$21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42" i="1"/>
  <c r="H6" i="2"/>
  <c r="A12" i="2"/>
  <c r="A13" i="2"/>
  <c r="A14" i="2"/>
  <c r="A15" i="2"/>
  <c r="A16" i="2"/>
  <c r="A17" i="2"/>
  <c r="A18" i="2"/>
  <c r="A19" i="2"/>
  <c r="A20" i="2"/>
  <c r="A21" i="2"/>
  <c r="A22" i="2"/>
  <c r="A11" i="2"/>
  <c r="A6" i="2"/>
  <c r="A7" i="2"/>
  <c r="A8" i="2"/>
  <c r="A9" i="2"/>
  <c r="A10" i="2"/>
  <c r="A5" i="2"/>
  <c r="C34" i="1"/>
  <c r="D41" i="1" s="1"/>
  <c r="D16" i="1"/>
  <c r="D22" i="1"/>
  <c r="D23" i="1" s="1"/>
  <c r="C27" i="1"/>
  <c r="D27" i="1" s="1"/>
  <c r="C28" i="1"/>
  <c r="D28" i="1" s="1"/>
  <c r="C29" i="1"/>
  <c r="D29" i="1" s="1"/>
  <c r="C30" i="1"/>
  <c r="D30" i="1" s="1"/>
  <c r="C26" i="1"/>
  <c r="D26" i="1" s="1"/>
  <c r="D40" i="1" l="1"/>
  <c r="D42" i="1"/>
  <c r="D39" i="1"/>
  <c r="D38" i="1"/>
  <c r="D37" i="1"/>
  <c r="D43" i="1" l="1"/>
</calcChain>
</file>

<file path=xl/sharedStrings.xml><?xml version="1.0" encoding="utf-8"?>
<sst xmlns="http://schemas.openxmlformats.org/spreadsheetml/2006/main" count="83" uniqueCount="35">
  <si>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</si>
  <si>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</si>
  <si>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</si>
  <si>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</si>
  <si>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</si>
  <si>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</si>
  <si>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</si>
  <si>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</si>
  <si>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</si>
  <si>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</si>
  <si>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</si>
  <si>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</si>
  <si>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</si>
  <si>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</si>
  <si>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</si>
  <si>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</si>
  <si>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%</t>
  </si>
  <si>
    <t>Sugestão de Investimento</t>
  </si>
  <si>
    <t>Perfil</t>
  </si>
  <si>
    <t>Moderado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</si>
  <si>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</si>
  <si>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</si>
  <si>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</si>
  <si>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</si>
  <si>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</si>
  <si>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</si>
  <si>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</si>
  <si>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</si>
  <si>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</si>
  <si>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</si>
  <si>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</si>
  <si>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</si>
  <si>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 xml:space="preserve">CHAVE 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</si>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</sst>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71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7" tint="-0.249977111117893"/>
      <name val="Calibri"/>
      <family val="2"/>
      <scheme val="minor"/>
    </font>
    <font>
      <b/>
      <sz val="14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32D0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/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theme="1"/>
      </left>
      <right/>
      <top style="hair">
        <color theme="2" tint="-9.9948118533890809E-2"/>
      </top>
      <bottom style="hair">
        <color theme="2" tint="-9.9948118533890809E-2"/>
      </bottom>
      <diagonal/>
    </border>
    <border>
      <left/>
      <right style="thin">
        <color theme="1"/>
      </right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theme="1"/>
      </left>
      <right/>
      <top style="hair">
        <color theme="2" tint="-9.9948118533890809E-2"/>
      </top>
      <bottom style="thin">
        <color theme="1"/>
      </bottom>
      <diagonal/>
    </border>
    <border>
      <left/>
      <right/>
      <top style="hair">
        <color theme="2" tint="-9.9948118533890809E-2"/>
      </top>
      <bottom style="thin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/>
      <top style="thin">
        <color theme="1"/>
      </top>
      <bottom style="hair">
        <color theme="2" tint="-9.9948118533890809E-2"/>
      </bottom>
      <diagonal/>
    </border>
    <border>
      <left/>
      <right/>
      <top style="thin">
        <color theme="1"/>
      </top>
      <bottom style="hair">
        <color theme="2" tint="-9.9948118533890809E-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2" tint="-9.9948118533890809E-2"/>
      </bottom>
      <diagonal/>
    </border>
    <border>
      <left/>
      <right/>
      <top style="medium">
        <color theme="1"/>
      </top>
      <bottom style="thin">
        <color theme="2" tint="-9.9948118533890809E-2"/>
      </bottom>
      <diagonal/>
    </border>
    <border>
      <left/>
      <right style="medium">
        <color theme="1"/>
      </right>
      <top style="medium">
        <color theme="1"/>
      </top>
      <bottom style="thin">
        <color theme="2" tint="-9.9948118533890809E-2"/>
      </bottom>
      <diagonal/>
    </border>
    <border>
      <left style="medium">
        <color theme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/>
      <top style="thin">
        <color theme="2" tint="-9.9948118533890809E-2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171" fontId="4" fillId="0" borderId="5" xfId="1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0" fontId="4" fillId="0" borderId="7" xfId="0" applyNumberFormat="1" applyFont="1" applyBorder="1" applyAlignment="1">
      <alignment horizontal="center"/>
    </xf>
    <xf numFmtId="0" fontId="3" fillId="4" borderId="0" xfId="0" applyFont="1" applyFill="1"/>
    <xf numFmtId="0" fontId="5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0" xfId="0" applyBorder="1"/>
    <xf numFmtId="171" fontId="4" fillId="3" borderId="7" xfId="1" applyNumberFormat="1" applyFont="1" applyFill="1" applyBorder="1" applyAlignment="1">
      <alignment horizontal="center"/>
    </xf>
    <xf numFmtId="171" fontId="4" fillId="3" borderId="9" xfId="1" applyNumberFormat="1" applyFont="1" applyFill="1" applyBorder="1" applyAlignment="1">
      <alignment horizontal="center"/>
    </xf>
    <xf numFmtId="171" fontId="0" fillId="5" borderId="11" xfId="0" applyNumberFormat="1" applyFont="1" applyFill="1" applyBorder="1" applyAlignment="1">
      <alignment horizontal="left"/>
    </xf>
    <xf numFmtId="171" fontId="0" fillId="5" borderId="13" xfId="0" applyNumberFormat="1" applyFont="1" applyFill="1" applyBorder="1" applyAlignment="1">
      <alignment horizontal="left"/>
    </xf>
    <xf numFmtId="171" fontId="0" fillId="5" borderId="15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3" borderId="6" xfId="0" applyFont="1" applyFill="1" applyBorder="1" applyAlignment="1"/>
    <xf numFmtId="0" fontId="8" fillId="3" borderId="20" xfId="0" applyFont="1" applyFill="1" applyBorder="1" applyAlignment="1"/>
    <xf numFmtId="0" fontId="8" fillId="3" borderId="8" xfId="0" applyFont="1" applyFill="1" applyBorder="1" applyAlignment="1"/>
    <xf numFmtId="0" fontId="8" fillId="3" borderId="21" xfId="0" applyFont="1" applyFill="1" applyBorder="1" applyAlignment="1"/>
    <xf numFmtId="0" fontId="7" fillId="5" borderId="12" xfId="0" applyFont="1" applyFill="1" applyBorder="1" applyAlignment="1"/>
    <xf numFmtId="0" fontId="7" fillId="5" borderId="14" xfId="0" applyFont="1" applyFill="1" applyBorder="1" applyAlignment="1"/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7" fillId="7" borderId="16" xfId="0" applyFont="1" applyFill="1" applyBorder="1" applyAlignment="1"/>
    <xf numFmtId="0" fontId="7" fillId="7" borderId="4" xfId="0" applyFont="1" applyFill="1" applyBorder="1" applyAlignment="1"/>
    <xf numFmtId="0" fontId="7" fillId="7" borderId="19" xfId="0" applyFont="1" applyFill="1" applyBorder="1" applyAlignment="1"/>
    <xf numFmtId="0" fontId="7" fillId="7" borderId="6" xfId="0" applyFont="1" applyFill="1" applyBorder="1" applyAlignment="1"/>
    <xf numFmtId="0" fontId="7" fillId="7" borderId="20" xfId="0" applyFont="1" applyFill="1" applyBorder="1" applyAlignment="1"/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/>
    <xf numFmtId="44" fontId="0" fillId="0" borderId="26" xfId="1" applyFont="1" applyBorder="1" applyAlignment="1">
      <alignment horizontal="center"/>
    </xf>
    <xf numFmtId="10" fontId="0" fillId="0" borderId="26" xfId="0" applyNumberFormat="1" applyBorder="1" applyAlignment="1">
      <alignment horizontal="center" vertical="center"/>
    </xf>
    <xf numFmtId="0" fontId="7" fillId="7" borderId="27" xfId="0" applyFont="1" applyFill="1" applyBorder="1" applyAlignment="1"/>
    <xf numFmtId="0" fontId="7" fillId="7" borderId="28" xfId="0" applyFont="1" applyFill="1" applyBorder="1" applyAlignment="1"/>
    <xf numFmtId="44" fontId="0" fillId="0" borderId="29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10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9" fontId="0" fillId="0" borderId="0" xfId="0" applyNumberForma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/>
    </xf>
    <xf numFmtId="0" fontId="0" fillId="0" borderId="0" xfId="0" applyFont="1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9" fontId="0" fillId="8" borderId="0" xfId="2" applyFont="1" applyFill="1" applyAlignment="1">
      <alignment horizontal="center"/>
    </xf>
    <xf numFmtId="0" fontId="10" fillId="6" borderId="0" xfId="0" applyFont="1" applyFill="1" applyBorder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171" fontId="11" fillId="9" borderId="0" xfId="0" applyNumberFormat="1" applyFont="1" applyFill="1" applyAlignment="1">
      <alignment horizontal="center" vertical="center"/>
    </xf>
    <xf numFmtId="0" fontId="12" fillId="0" borderId="0" xfId="0" applyFont="1"/>
    <xf numFmtId="0" fontId="13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0" fontId="12" fillId="10" borderId="0" xfId="0" applyFont="1" applyFill="1"/>
    <xf numFmtId="171" fontId="14" fillId="10" borderId="0" xfId="0" applyNumberFormat="1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632D09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AUREA!$C$36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AUREA!$B$37:$B$43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AUREA!$C$37:$C$43</c:f>
              <c:numCache>
                <c:formatCode>0%</c:formatCode>
                <c:ptCount val="7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9-4F01-9FB5-C975D4D4D3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4878</xdr:colOff>
      <xdr:row>4</xdr:row>
      <xdr:rowOff>119350</xdr:rowOff>
    </xdr:from>
    <xdr:to>
      <xdr:col>3</xdr:col>
      <xdr:colOff>1043642</xdr:colOff>
      <xdr:row>14</xdr:row>
      <xdr:rowOff>38530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308288-03B1-6380-6FF7-6702E5F43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7" t="7522" r="-325" b="10177"/>
        <a:stretch/>
      </xdr:blipFill>
      <xdr:spPr>
        <a:xfrm>
          <a:off x="609996" y="836526"/>
          <a:ext cx="6561770" cy="1953875"/>
        </a:xfrm>
        <a:prstGeom prst="rect">
          <a:avLst/>
        </a:prstGeom>
      </xdr:spPr>
    </xdr:pic>
    <xdr:clientData/>
  </xdr:twoCellAnchor>
  <xdr:twoCellAnchor>
    <xdr:from>
      <xdr:col>0</xdr:col>
      <xdr:colOff>596899</xdr:colOff>
      <xdr:row>43</xdr:row>
      <xdr:rowOff>164330</xdr:rowOff>
    </xdr:from>
    <xdr:to>
      <xdr:col>4</xdr:col>
      <xdr:colOff>33865</xdr:colOff>
      <xdr:row>58</xdr:row>
      <xdr:rowOff>138930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4E8855-1FCF-FE7C-49F6-DF230EE13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4031-C169-440C-8D59-8CCBD54DAE45}">
  <dimension ref="A12:XFD49"/>
  <sheetViews>
    <sheetView showGridLines="0" tabSelected="1" zoomScale="61" zoomScaleNormal="47" workbookViewId="0">
      <selection activeCell="P27" sqref="P27"/>
    </sheetView>
  </sheetViews>
  <sheetFormatPr defaultColWidth="8.88671875" defaultRowHeight="14.4" x14ac:dyDescent="0.3"/>
  <cols>
    <col min="1" max="1" width="8.88671875" customWidth="1"/>
    <col min="2" max="2" width="52.109375" customWidth="1"/>
    <col min="3" max="3" width="28.33203125" customWidth="1"/>
    <col min="4" max="4" width="15.44140625" customWidth="1"/>
    <col min="5" max="5" width="13" bestFit="1" customWidth="1"/>
    <col min="6" max="6" width="8.88671875" customWidth="1"/>
    <col min="7" max="7" width="8.33203125" customWidth="1"/>
    <col min="8" max="8" width="13.6640625" customWidth="1"/>
    <col min="9" max="16384" width="8.88671875" customWidth="1"/>
  </cols>
  <sheetData>
    <row r="12" spans="2:4" ht="15" thickBot="1" x14ac:dyDescent="0.35"/>
    <row r="13" spans="2:4" ht="29.4" customHeight="1" x14ac:dyDescent="0.3">
      <c r="B13" s="28" t="s">
        <v>13</v>
      </c>
      <c r="C13" s="29"/>
      <c r="D13" s="30"/>
    </row>
    <row r="14" spans="2:4" ht="19.2" x14ac:dyDescent="0.45">
      <c r="B14" s="31" t="s">
        <v>15</v>
      </c>
      <c r="C14" s="23"/>
      <c r="D14" s="32">
        <v>5000</v>
      </c>
    </row>
    <row r="15" spans="2:4" ht="19.2" x14ac:dyDescent="0.45">
      <c r="B15" s="31" t="s">
        <v>14</v>
      </c>
      <c r="C15" s="23"/>
      <c r="D15" s="33">
        <v>8.8999999999999999E-3</v>
      </c>
    </row>
    <row r="16" spans="2:4" ht="19.8" thickBot="1" x14ac:dyDescent="0.5">
      <c r="B16" s="34" t="s">
        <v>17</v>
      </c>
      <c r="C16" s="35"/>
      <c r="D16" s="36">
        <f>D14*30%</f>
        <v>1500</v>
      </c>
    </row>
    <row r="18" spans="1:4" ht="22.2" x14ac:dyDescent="0.3">
      <c r="B18" s="5" t="s">
        <v>5</v>
      </c>
      <c r="C18" s="14"/>
      <c r="D18" s="13"/>
    </row>
    <row r="19" spans="1:4" ht="19.2" x14ac:dyDescent="0.45">
      <c r="B19" s="24" t="s">
        <v>0</v>
      </c>
      <c r="C19" s="25"/>
      <c r="D19" s="1">
        <v>200</v>
      </c>
    </row>
    <row r="20" spans="1:4" ht="19.2" x14ac:dyDescent="0.45">
      <c r="B20" s="26" t="s">
        <v>1</v>
      </c>
      <c r="C20" s="27"/>
      <c r="D20" s="2">
        <v>5</v>
      </c>
    </row>
    <row r="21" spans="1:4" ht="19.2" x14ac:dyDescent="0.45">
      <c r="A21" s="4">
        <v>2</v>
      </c>
      <c r="B21" s="26" t="s">
        <v>2</v>
      </c>
      <c r="C21" s="27"/>
      <c r="D21" s="3">
        <v>1.0789999999999999E-2</v>
      </c>
    </row>
    <row r="22" spans="1:4" ht="19.2" x14ac:dyDescent="0.45">
      <c r="A22" s="4">
        <v>5</v>
      </c>
      <c r="B22" s="15" t="s">
        <v>3</v>
      </c>
      <c r="C22" s="16"/>
      <c r="D22" s="8">
        <f>FV(taxa_mensal,qtd_anos*12,aporte*-1)</f>
        <v>16755.382799697527</v>
      </c>
    </row>
    <row r="23" spans="1:4" ht="19.2" x14ac:dyDescent="0.45">
      <c r="A23" s="4">
        <v>10</v>
      </c>
      <c r="B23" s="17" t="s">
        <v>4</v>
      </c>
      <c r="C23" s="18"/>
      <c r="D23" s="9">
        <f>(D22*1%)</f>
        <v>167.55382799697529</v>
      </c>
    </row>
    <row r="24" spans="1:4" x14ac:dyDescent="0.3">
      <c r="A24" s="4">
        <v>20</v>
      </c>
    </row>
    <row r="25" spans="1:4" ht="22.2" x14ac:dyDescent="0.3">
      <c r="A25" s="4">
        <v>30</v>
      </c>
      <c r="B25" s="21" t="s">
        <v>11</v>
      </c>
      <c r="C25" s="22"/>
      <c r="D25" s="6" t="s">
        <v>12</v>
      </c>
    </row>
    <row r="26" spans="1:4" ht="19.2" x14ac:dyDescent="0.45">
      <c r="B26" s="19" t="s">
        <v>6</v>
      </c>
      <c r="C26" s="10">
        <f>FV($D$21,$A21*12,$D$19*-1)</f>
        <v>5445.5254595290435</v>
      </c>
      <c r="D26" s="11">
        <f>(C26*Redimento_carteira)</f>
        <v>48.465176589808486</v>
      </c>
    </row>
    <row r="27" spans="1:4" ht="19.2" x14ac:dyDescent="0.45">
      <c r="B27" s="19" t="s">
        <v>7</v>
      </c>
      <c r="C27" s="10">
        <f>FV($D$21,$A22*12,$D$19*-1)</f>
        <v>16755.382799697527</v>
      </c>
      <c r="D27" s="11">
        <f>(C27*Redimento_carteira)</f>
        <v>149.122906917308</v>
      </c>
    </row>
    <row r="28" spans="1:4" ht="19.2" x14ac:dyDescent="0.45">
      <c r="B28" s="19" t="s">
        <v>8</v>
      </c>
      <c r="C28" s="10">
        <f>FV($D$21,$A23*12,$D$19*-1)</f>
        <v>48656.842506034438</v>
      </c>
      <c r="D28" s="11">
        <f>(C28*Redimento_carteira)</f>
        <v>433.04589830370651</v>
      </c>
    </row>
    <row r="29" spans="1:4" ht="19.2" x14ac:dyDescent="0.45">
      <c r="B29" s="19" t="s">
        <v>9</v>
      </c>
      <c r="C29" s="10">
        <f>FV($D$21,$A24*12,$D$19*-1)</f>
        <v>225039.68001941612</v>
      </c>
      <c r="D29" s="11">
        <f>(C29*Redimento_carteira)</f>
        <v>2002.8531521728034</v>
      </c>
    </row>
    <row r="30" spans="1:4" ht="19.2" x14ac:dyDescent="0.45">
      <c r="B30" s="20" t="s">
        <v>10</v>
      </c>
      <c r="C30" s="12">
        <f>FV($D$21,$A25*12,$D$19*-1)</f>
        <v>864433.93100094295</v>
      </c>
      <c r="D30" s="11">
        <f>(C30*Redimento_carteira)</f>
        <v>7693.4619859083923</v>
      </c>
    </row>
    <row r="33" spans="2:4" ht="20.399999999999999" x14ac:dyDescent="0.3">
      <c r="B33" s="49" t="s">
        <v>18</v>
      </c>
      <c r="C33" s="59" t="s">
        <v>19</v>
      </c>
      <c r="D33" s="59"/>
    </row>
    <row r="34" spans="2:4" ht="16.8" x14ac:dyDescent="0.3">
      <c r="B34" s="50" t="s">
        <v>21</v>
      </c>
      <c r="C34" s="51">
        <f>aporte</f>
        <v>200</v>
      </c>
      <c r="D34" s="51"/>
    </row>
    <row r="35" spans="2:4" ht="16.8" x14ac:dyDescent="0.4">
      <c r="B35" s="52"/>
      <c r="C35" s="52"/>
      <c r="D35" s="52"/>
    </row>
    <row r="36" spans="2:4" ht="16.8" x14ac:dyDescent="0.3">
      <c r="B36" s="53" t="s">
        <v>22</v>
      </c>
      <c r="C36" s="53" t="s">
        <v>23</v>
      </c>
      <c r="D36" s="53" t="s">
        <v>24</v>
      </c>
    </row>
    <row r="37" spans="2:4" ht="16.8" x14ac:dyDescent="0.3">
      <c r="B37" s="54" t="s">
        <v>25</v>
      </c>
      <c r="C37" s="55">
        <f>VLOOKUP($C$33&amp;"-"&amp;B37,Planilha2!$A:$D,4,FALSE)</f>
        <v>0.32</v>
      </c>
      <c r="D37" s="56">
        <f>C37*$C$34</f>
        <v>64</v>
      </c>
    </row>
    <row r="38" spans="2:4" ht="16.8" x14ac:dyDescent="0.3">
      <c r="B38" s="54" t="s">
        <v>26</v>
      </c>
      <c r="C38" s="55">
        <f>VLOOKUP($C$33&amp;"-"&amp;B38,Planilha2!A:D,4,FALSE)</f>
        <v>0.35</v>
      </c>
      <c r="D38" s="56">
        <f t="shared" ref="D38:D42" si="0">C38*$C$34</f>
        <v>70</v>
      </c>
    </row>
    <row r="39" spans="2:4" ht="16.8" x14ac:dyDescent="0.3">
      <c r="B39" s="54" t="s">
        <v>27</v>
      </c>
      <c r="C39" s="55">
        <f>VLOOKUP($C$33&amp;"-"&amp;B39,Planilha2!A:D,4,FALSE)</f>
        <v>0.08</v>
      </c>
      <c r="D39" s="56">
        <f t="shared" si="0"/>
        <v>16</v>
      </c>
    </row>
    <row r="40" spans="2:4" ht="16.8" x14ac:dyDescent="0.3">
      <c r="B40" s="54" t="s">
        <v>28</v>
      </c>
      <c r="C40" s="55">
        <f>VLOOKUP($C$33&amp;"-"&amp;B40,Planilha2!A:D,4,FALSE)</f>
        <v>0.05</v>
      </c>
      <c r="D40" s="56">
        <f t="shared" si="0"/>
        <v>10</v>
      </c>
    </row>
    <row r="41" spans="2:4" ht="16.8" x14ac:dyDescent="0.3">
      <c r="B41" s="54" t="s">
        <v>29</v>
      </c>
      <c r="C41" s="55">
        <f>VLOOKUP($C$33&amp;"-"&amp;B41,Planilha2!A:D,4,FALSE)</f>
        <v>0.1</v>
      </c>
      <c r="D41" s="56">
        <f t="shared" si="0"/>
        <v>20</v>
      </c>
    </row>
    <row r="42" spans="2:4" ht="16.8" x14ac:dyDescent="0.3">
      <c r="B42" s="54" t="s">
        <v>30</v>
      </c>
      <c r="C42" s="55">
        <f>VLOOKUP($C$33&amp;"-"&amp;B42,Planilha2!A:D,4,FALSE)</f>
        <v>0.1</v>
      </c>
      <c r="D42" s="56">
        <f t="shared" si="0"/>
        <v>20</v>
      </c>
    </row>
    <row r="43" spans="2:4" ht="16.8" x14ac:dyDescent="0.4">
      <c r="B43" s="57"/>
      <c r="C43" s="57"/>
      <c r="D43" s="58">
        <f>SUM(D37:D42)</f>
        <v>200</v>
      </c>
    </row>
    <row r="44" spans="2:4" x14ac:dyDescent="0.3">
      <c r="B44" s="40"/>
      <c r="C44" s="40"/>
      <c r="D44" s="40"/>
    </row>
    <row r="49" customFormat="1" x14ac:dyDescent="0.3"/>
  </sheetData>
  <mergeCells count="13">
    <mergeCell ref="B13:D13"/>
    <mergeCell ref="B18:D18"/>
    <mergeCell ref="B25:C25"/>
    <mergeCell ref="C33:D33"/>
    <mergeCell ref="C34:D34"/>
    <mergeCell ref="B20:C20"/>
    <mergeCell ref="B21:C21"/>
    <mergeCell ref="B23:C23"/>
    <mergeCell ref="B14:C14"/>
    <mergeCell ref="B15:C15"/>
    <mergeCell ref="B16:C16"/>
    <mergeCell ref="B19:C19"/>
    <mergeCell ref="B22:C22"/>
  </mergeCells>
  <dataValidations count="1">
    <dataValidation type="list" allowBlank="1" showInputMessage="1" showErrorMessage="1" sqref="C33" xr:uid="{EB83B609-ED07-4DC9-8DB7-BB002BDEB24D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FA1B-785F-44DA-9262-C33964B86564}">
  <dimension ref="A1:H22"/>
  <sheetViews>
    <sheetView zoomScale="91" zoomScaleNormal="91" workbookViewId="0">
      <selection activeCell="C28" sqref="C28"/>
    </sheetView>
  </sheetViews>
  <sheetFormatPr defaultRowHeight="14.4" x14ac:dyDescent="0.3"/>
  <cols>
    <col min="1" max="1" width="29.21875" bestFit="1" customWidth="1"/>
    <col min="2" max="2" width="11.33203125" bestFit="1" customWidth="1"/>
    <col min="3" max="3" width="18" bestFit="1" customWidth="1"/>
    <col min="7" max="7" width="19.21875" customWidth="1"/>
    <col min="8" max="8" width="11" customWidth="1"/>
  </cols>
  <sheetData>
    <row r="1" spans="1:8" x14ac:dyDescent="0.3">
      <c r="A1" s="38"/>
      <c r="B1" s="38"/>
    </row>
    <row r="2" spans="1:8" x14ac:dyDescent="0.3">
      <c r="A2" s="38"/>
      <c r="B2" s="38"/>
    </row>
    <row r="3" spans="1:8" x14ac:dyDescent="0.3">
      <c r="A3" s="38"/>
      <c r="B3" s="38"/>
    </row>
    <row r="4" spans="1:8" x14ac:dyDescent="0.3">
      <c r="A4" s="60" t="s">
        <v>32</v>
      </c>
      <c r="B4" s="60" t="s">
        <v>31</v>
      </c>
      <c r="C4" s="61" t="s">
        <v>22</v>
      </c>
      <c r="D4" s="61" t="s">
        <v>16</v>
      </c>
    </row>
    <row r="5" spans="1:8" x14ac:dyDescent="0.3">
      <c r="A5" s="37" t="str">
        <f>(B5&amp;"-"&amp;C5)</f>
        <v>Conservador-PAPEL</v>
      </c>
      <c r="B5" s="38" t="s">
        <v>20</v>
      </c>
      <c r="C5" s="38" t="s">
        <v>25</v>
      </c>
      <c r="D5" s="39">
        <v>0.3</v>
      </c>
      <c r="H5" t="s">
        <v>16</v>
      </c>
    </row>
    <row r="6" spans="1:8" x14ac:dyDescent="0.3">
      <c r="A6" s="37" t="str">
        <f t="shared" ref="A6:A22" si="0">(B6&amp;"-"&amp;C6)</f>
        <v>Conservador-TIJOLO</v>
      </c>
      <c r="B6" s="38" t="s">
        <v>20</v>
      </c>
      <c r="C6" s="38" t="s">
        <v>26</v>
      </c>
      <c r="D6" s="39">
        <v>0.5</v>
      </c>
      <c r="F6" s="46"/>
      <c r="G6" s="47" t="s">
        <v>34</v>
      </c>
      <c r="H6" s="48">
        <f>VLOOKUP(G6,$A:$D,4,FALSE)</f>
        <v>0.35</v>
      </c>
    </row>
    <row r="7" spans="1:8" x14ac:dyDescent="0.3">
      <c r="A7" s="37" t="str">
        <f t="shared" si="0"/>
        <v>Conservador-HÍBRIDOS</v>
      </c>
      <c r="B7" t="s">
        <v>20</v>
      </c>
      <c r="C7" s="38" t="s">
        <v>27</v>
      </c>
      <c r="D7" s="39">
        <v>0.1</v>
      </c>
    </row>
    <row r="8" spans="1:8" x14ac:dyDescent="0.3">
      <c r="A8" s="37" t="str">
        <f t="shared" si="0"/>
        <v>Conservador-FOFs</v>
      </c>
      <c r="B8" t="s">
        <v>20</v>
      </c>
      <c r="C8" s="38" t="s">
        <v>28</v>
      </c>
      <c r="D8" s="39">
        <v>0.1</v>
      </c>
    </row>
    <row r="9" spans="1:8" x14ac:dyDescent="0.3">
      <c r="A9" s="37" t="str">
        <f t="shared" si="0"/>
        <v>Conservador-DESENVOLVIMENTO</v>
      </c>
      <c r="B9" t="s">
        <v>20</v>
      </c>
      <c r="C9" s="38" t="s">
        <v>29</v>
      </c>
      <c r="D9" s="39">
        <v>0</v>
      </c>
    </row>
    <row r="10" spans="1:8" ht="15" thickBot="1" x14ac:dyDescent="0.35">
      <c r="A10" s="43" t="str">
        <f t="shared" si="0"/>
        <v>Conservador-HOTELARIAS</v>
      </c>
      <c r="B10" s="7" t="s">
        <v>20</v>
      </c>
      <c r="C10" s="41" t="s">
        <v>30</v>
      </c>
      <c r="D10" s="42">
        <v>0</v>
      </c>
    </row>
    <row r="11" spans="1:8" x14ac:dyDescent="0.3">
      <c r="A11" s="37" t="str">
        <f t="shared" si="0"/>
        <v>Moderado-PAPEL</v>
      </c>
      <c r="B11" t="s">
        <v>19</v>
      </c>
      <c r="C11" s="38" t="s">
        <v>25</v>
      </c>
      <c r="D11" s="44">
        <v>0.32</v>
      </c>
    </row>
    <row r="12" spans="1:8" x14ac:dyDescent="0.3">
      <c r="A12" s="37" t="str">
        <f t="shared" si="0"/>
        <v>Moderado-TIJOLO</v>
      </c>
      <c r="B12" t="s">
        <v>19</v>
      </c>
      <c r="C12" s="38" t="s">
        <v>26</v>
      </c>
      <c r="D12" s="44">
        <v>0.35</v>
      </c>
    </row>
    <row r="13" spans="1:8" x14ac:dyDescent="0.3">
      <c r="A13" s="37" t="str">
        <f t="shared" si="0"/>
        <v>Moderado-HÍBRIDOS</v>
      </c>
      <c r="B13" t="s">
        <v>19</v>
      </c>
      <c r="C13" s="38" t="s">
        <v>27</v>
      </c>
      <c r="D13" s="44">
        <v>0.08</v>
      </c>
    </row>
    <row r="14" spans="1:8" x14ac:dyDescent="0.3">
      <c r="A14" s="37" t="str">
        <f t="shared" si="0"/>
        <v>Moderado-FOFs</v>
      </c>
      <c r="B14" t="s">
        <v>19</v>
      </c>
      <c r="C14" s="38" t="s">
        <v>28</v>
      </c>
      <c r="D14" s="44">
        <v>0.05</v>
      </c>
    </row>
    <row r="15" spans="1:8" x14ac:dyDescent="0.3">
      <c r="A15" s="37" t="str">
        <f t="shared" si="0"/>
        <v>Moderado-DESENVOLVIMENTO</v>
      </c>
      <c r="B15" t="s">
        <v>19</v>
      </c>
      <c r="C15" s="38" t="s">
        <v>29</v>
      </c>
      <c r="D15" s="44">
        <v>0.1</v>
      </c>
    </row>
    <row r="16" spans="1:8" ht="15" thickBot="1" x14ac:dyDescent="0.35">
      <c r="A16" s="43" t="str">
        <f t="shared" si="0"/>
        <v>Moderado-HOTELARIAS</v>
      </c>
      <c r="B16" s="7" t="s">
        <v>19</v>
      </c>
      <c r="C16" s="41" t="s">
        <v>30</v>
      </c>
      <c r="D16" s="45">
        <v>0.1</v>
      </c>
    </row>
    <row r="17" spans="1:4" x14ac:dyDescent="0.3">
      <c r="A17" s="37" t="str">
        <f t="shared" si="0"/>
        <v>Agressivo-PAPEL</v>
      </c>
      <c r="B17" t="s">
        <v>33</v>
      </c>
      <c r="C17" s="38" t="s">
        <v>25</v>
      </c>
      <c r="D17" s="44">
        <v>0.5</v>
      </c>
    </row>
    <row r="18" spans="1:4" x14ac:dyDescent="0.3">
      <c r="A18" s="37" t="str">
        <f t="shared" si="0"/>
        <v>Agressivo-TIJOLO</v>
      </c>
      <c r="B18" t="s">
        <v>33</v>
      </c>
      <c r="C18" s="38" t="s">
        <v>26</v>
      </c>
      <c r="D18" s="44">
        <v>0.1</v>
      </c>
    </row>
    <row r="19" spans="1:4" x14ac:dyDescent="0.3">
      <c r="A19" s="37" t="str">
        <f t="shared" si="0"/>
        <v>Agressivo-HÍBRIDOS</v>
      </c>
      <c r="B19" t="s">
        <v>33</v>
      </c>
      <c r="C19" s="38" t="s">
        <v>27</v>
      </c>
      <c r="D19" s="44">
        <v>0.05</v>
      </c>
    </row>
    <row r="20" spans="1:4" x14ac:dyDescent="0.3">
      <c r="A20" s="37" t="str">
        <f t="shared" si="0"/>
        <v>Agressivo-FOFs</v>
      </c>
      <c r="B20" t="s">
        <v>33</v>
      </c>
      <c r="C20" s="38" t="s">
        <v>28</v>
      </c>
      <c r="D20" s="44">
        <v>0.05</v>
      </c>
    </row>
    <row r="21" spans="1:4" x14ac:dyDescent="0.3">
      <c r="A21" s="37" t="str">
        <f t="shared" si="0"/>
        <v>Agressivo-DESENVOLVIMENTO</v>
      </c>
      <c r="B21" t="s">
        <v>33</v>
      </c>
      <c r="C21" s="38" t="s">
        <v>29</v>
      </c>
      <c r="D21" s="44">
        <v>0.2</v>
      </c>
    </row>
    <row r="22" spans="1:4" x14ac:dyDescent="0.3">
      <c r="A22" s="37" t="str">
        <f t="shared" si="0"/>
        <v>Agressivo-HOTELARIAS</v>
      </c>
      <c r="B22" t="s">
        <v>33</v>
      </c>
      <c r="C22" s="38" t="s">
        <v>30</v>
      </c>
      <c r="D22" s="4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AUREA</vt:lpstr>
      <vt:lpstr>Planilha2</vt:lpstr>
      <vt:lpstr>aporte</vt:lpstr>
      <vt:lpstr>patrimonio</vt:lpstr>
      <vt:lpstr>qtd_anos</vt:lpstr>
      <vt:lpstr>Redimento_carteira</vt:lpstr>
      <vt:lpstr>soma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Livia Lima Ferreira</dc:creator>
  <cp:lastModifiedBy>Ana Livia Lima Ferreira</cp:lastModifiedBy>
  <dcterms:created xsi:type="dcterms:W3CDTF">2026-09-15T13:43:15Z</dcterms:created>
  <dcterms:modified xsi:type="dcterms:W3CDTF">2026-09-15T18:42:50Z</dcterms:modified>
</cp:coreProperties>
</file>